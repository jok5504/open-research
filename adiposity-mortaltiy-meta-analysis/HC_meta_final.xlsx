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 Eui Kim\Desktop\Adiposity_mortality_meta_analysis\"/>
    </mc:Choice>
  </mc:AlternateContent>
  <xr:revisionPtr revIDLastSave="0" documentId="13_ncr:1_{2451184B-6310-4912-B313-23C27E78F6D7}" xr6:coauthVersionLast="47" xr6:coauthVersionMax="47" xr10:uidLastSave="{00000000-0000-0000-0000-000000000000}"/>
  <bookViews>
    <workbookView xWindow="-110" yWindow="-110" windowWidth="38620" windowHeight="21100" xr2:uid="{B44569EC-9E26-4DFB-9B8C-BE081ECE1D83}"/>
  </bookViews>
  <sheets>
    <sheet name="categorical" sheetId="1" r:id="rId1"/>
    <sheet name="continuous" sheetId="2" r:id="rId2"/>
    <sheet name="linear_ma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L29" i="1"/>
  <c r="L30" i="1"/>
  <c r="L31" i="1"/>
  <c r="L27" i="1"/>
  <c r="L8" i="1"/>
  <c r="L9" i="1"/>
  <c r="L10" i="1"/>
  <c r="L11" i="1"/>
  <c r="L12" i="1"/>
  <c r="L13" i="1"/>
  <c r="L14" i="1"/>
  <c r="L15" i="1"/>
  <c r="L16" i="1"/>
  <c r="L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tc={28199F90-6919-45D5-8B0E-650622D761E3}</author>
    <author>tc={3909BE59-2872-4F49-9AD1-6C6EBB9CA7EF}</author>
    <author>tc={85B82DA7-370A-4AC4-B7D8-C5AEA73AC7AC}</author>
    <author>tc={04C8FB7F-A767-4246-9949-B2DE7E7A5BAD}</author>
  </authors>
  <commentList>
    <comment ref="I1" authorId="0" shapeId="0" xr:uid="{28199F90-6919-45D5-8B0E-650622D761E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 cm increase</t>
      </text>
    </comment>
    <comment ref="N1" authorId="1" shapeId="0" xr:uid="{3909BE59-2872-4F49-9AD1-6C6EBB9CA7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  <comment ref="Q1" authorId="2" shapeId="0" xr:uid="{85B82DA7-370A-4AC4-B7D8-C5AEA73AC7A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T1" authorId="3" shapeId="0" xr:uid="{04C8FB7F-A767-4246-9949-B2DE7E7A5BA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Follow up 10년 이상 = 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tc={BA5C48FB-C9EF-493A-82AA-C739AA8AEA0F}</author>
    <author>tc={3C9E4B84-5B86-4915-A2C0-0F412A16E6EA}</author>
    <author>tc={C28EDE16-2F2C-44EC-81E5-EB61BD8AD7B4}</author>
  </authors>
  <commentList>
    <comment ref="H1" authorId="0" shapeId="0" xr:uid="{BA5C48FB-C9EF-493A-82AA-C739AA8AEA0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 cm increase</t>
      </text>
    </comment>
    <comment ref="J1" authorId="1" shapeId="0" xr:uid="{3C9E4B84-5B86-4915-A2C0-0F412A16E6E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  <comment ref="L1" authorId="2" shapeId="0" xr:uid="{C28EDE16-2F2C-44EC-81E5-EB61BD8AD7B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tc={20636B5D-01E8-4E9F-B52F-6D31EF95C415}</author>
  </authors>
  <commentList>
    <comment ref="J1" authorId="0" shapeId="0" xr:uid="{20636B5D-01E8-4E9F-B52F-6D31EF95C41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</commentList>
</comments>
</file>

<file path=xl/sharedStrings.xml><?xml version="1.0" encoding="utf-8"?>
<sst xmlns="http://schemas.openxmlformats.org/spreadsheetml/2006/main" count="128" uniqueCount="44">
  <si>
    <t>id</t>
    <phoneticPr fontId="1" type="noConversion"/>
  </si>
  <si>
    <t>study</t>
    <phoneticPr fontId="1" type="noConversion"/>
  </si>
  <si>
    <t>study name</t>
    <phoneticPr fontId="1" type="noConversion"/>
  </si>
  <si>
    <t>RR</t>
    <phoneticPr fontId="1" type="noConversion"/>
  </si>
  <si>
    <t>LCI</t>
    <phoneticPr fontId="1" type="noConversion"/>
  </si>
  <si>
    <t>UCI</t>
    <phoneticPr fontId="1" type="noConversion"/>
  </si>
  <si>
    <t>dose</t>
    <phoneticPr fontId="1" type="noConversion"/>
  </si>
  <si>
    <t>case</t>
    <phoneticPr fontId="1" type="noConversion"/>
  </si>
  <si>
    <t>n</t>
    <phoneticPr fontId="1" type="noConversion"/>
  </si>
  <si>
    <t>follow-up</t>
    <phoneticPr fontId="1" type="noConversion"/>
  </si>
  <si>
    <t>country</t>
    <phoneticPr fontId="1" type="noConversion"/>
  </si>
  <si>
    <t>Petursson, 2011</t>
    <phoneticPr fontId="1" type="noConversion"/>
  </si>
  <si>
    <t>linear</t>
    <phoneticPr fontId="1" type="noConversion"/>
  </si>
  <si>
    <t>Lanfer, 2014</t>
    <phoneticPr fontId="1" type="noConversion"/>
  </si>
  <si>
    <t>Thomson, 2016</t>
    <phoneticPr fontId="1" type="noConversion"/>
  </si>
  <si>
    <t>coef</t>
    <phoneticPr fontId="1" type="noConversion"/>
  </si>
  <si>
    <t>se</t>
    <phoneticPr fontId="1" type="noConversion"/>
  </si>
  <si>
    <t>sex</t>
    <phoneticPr fontId="1" type="noConversion"/>
  </si>
  <si>
    <t>Kawamoto, 2023</t>
    <phoneticPr fontId="1" type="noConversion"/>
  </si>
  <si>
    <t>full_model</t>
    <phoneticPr fontId="1" type="noConversion"/>
  </si>
  <si>
    <t>neversmoker</t>
    <phoneticPr fontId="1" type="noConversion"/>
  </si>
  <si>
    <t>healthy</t>
    <phoneticPr fontId="1" type="noConversion"/>
  </si>
  <si>
    <t>follow</t>
    <phoneticPr fontId="1" type="noConversion"/>
  </si>
  <si>
    <t>mean_age</t>
    <phoneticPr fontId="1" type="noConversion"/>
  </si>
  <si>
    <t>follow_up</t>
    <phoneticPr fontId="1" type="noConversion"/>
  </si>
  <si>
    <t>Lanfer, 2014</t>
    <phoneticPr fontId="1" type="noConversion"/>
  </si>
  <si>
    <t>bmi_adjusted</t>
    <phoneticPr fontId="1" type="noConversion"/>
  </si>
  <si>
    <t>bmi_unadjusted</t>
    <phoneticPr fontId="1" type="noConversion"/>
  </si>
  <si>
    <t>minimum</t>
    <phoneticPr fontId="1" type="noConversion"/>
  </si>
  <si>
    <t>mediator</t>
    <phoneticPr fontId="1" type="noConversion"/>
  </si>
  <si>
    <t>open_ended</t>
    <phoneticPr fontId="1" type="noConversion"/>
  </si>
  <si>
    <t>mean_median_reported</t>
    <phoneticPr fontId="1" type="noConversion"/>
  </si>
  <si>
    <t>quantile_based</t>
    <phoneticPr fontId="1" type="noConversion"/>
  </si>
  <si>
    <t>clinical_cutpoint</t>
    <phoneticPr fontId="1" type="noConversion"/>
  </si>
  <si>
    <t>category_n</t>
    <phoneticPr fontId="1" type="noConversion"/>
  </si>
  <si>
    <t>early_death</t>
    <phoneticPr fontId="1" type="noConversion"/>
  </si>
  <si>
    <t>older_age</t>
    <phoneticPr fontId="1" type="noConversion"/>
  </si>
  <si>
    <t>self_report</t>
    <phoneticPr fontId="1" type="noConversion"/>
  </si>
  <si>
    <t>person_years</t>
    <phoneticPr fontId="1" type="noConversion"/>
  </si>
  <si>
    <t>.</t>
    <phoneticPr fontId="1" type="noConversion"/>
  </si>
  <si>
    <t>cohort</t>
    <phoneticPr fontId="1" type="noConversion"/>
  </si>
  <si>
    <t>.34519567 |</t>
  </si>
  <si>
    <t>study_name</t>
    <phoneticPr fontId="1" type="noConversion"/>
  </si>
  <si>
    <t>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</si>
</sst>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진의 김" id="{664351B4-D120-45CB-91F0-33F083116146}" userId="5b589f4c0b93b121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4-10-23T12:57:54.38" personId="{664351B4-D120-45CB-91F0-33F083116146}" id="{28199F90-6919-45D5-8B0E-650622D761E3}">
    <text>10 cm increase</text>
  </threadedComment>
  <threadedComment ref="N1" dT="2024-10-23T06:47:56.68" personId="{664351B4-D120-45CB-91F0-33F083116146}" id="{3909BE59-2872-4F49-9AD1-6C6EBB9CA7EF}">
    <text>1=Asia, 2=Europe, 3=North America, 4=South America, 5=Africa</text>
  </threadedComment>
  <threadedComment ref="Q1" dT="2024-11-16T15:23:10.57" personId="{664351B4-D120-45CB-91F0-33F083116146}" id="{85B82DA7-370A-4AC4-B7D8-C5AEA73AC7AC}">
    <text>Men=1, women=2</text>
  </threadedComment>
  <threadedComment ref="T1" dT="2024-11-19T04:42:34.28" personId="{664351B4-D120-45CB-91F0-33F083116146}" id="{04C8FB7F-A767-4246-9949-B2DE7E7A5BAD}">
    <text>Follow up 10년 이상 = 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4-10-23T12:57:54.38" personId="{664351B4-D120-45CB-91F0-33F083116146}" id="{BA5C48FB-C9EF-493A-82AA-C739AA8AEA0F}">
    <text>1 cm increase</text>
  </threadedComment>
  <threadedComment ref="J1" dT="2024-10-23T06:47:56.68" personId="{664351B4-D120-45CB-91F0-33F083116146}" id="{3C9E4B84-5B86-4915-A2C0-0F412A16E6EA}">
    <text>1=Asia, 2=Europe, 3=North America, 4=South America, 5=Africa</text>
  </threadedComment>
  <threadedComment ref="L1" dT="2024-11-16T15:23:10.57" personId="{664351B4-D120-45CB-91F0-33F083116146}" id="{C28EDE16-2F2C-44EC-81E5-EB61BD8AD7B4}">
    <text>Men=1, women=2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1" dT="2024-11-16T15:23:10.57" personId="{664351B4-D120-45CB-91F0-33F083116146}" id="{20636B5D-01E8-4E9F-B52F-6D31EF95C415}">
    <text>Men=1, women=2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B464-79B8-4361-9E9E-4198BABED8AD}">
  <dimension ref="A1:AG3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3" max="3" width="6" bestFit="1" customWidth="1"/>
    <col min="4" max="4" width="15.25" bestFit="1" customWidth="1"/>
    <col min="5" max="5" width="8.75" bestFit="1" customWidth="1"/>
    <col min="16" max="16" width="10.33203125" bestFit="1" customWidth="1"/>
    <col min="17" max="17" width="4.1640625" bestFit="1" customWidth="1"/>
    <col min="18" max="18" width="12.5" bestFit="1" customWidth="1"/>
  </cols>
  <sheetData>
    <row r="1" spans="1:33" x14ac:dyDescent="0.45">
      <c r="A1" t="s">
        <v>40</v>
      </c>
      <c r="B1" t="s">
        <v>0</v>
      </c>
      <c r="C1" t="s">
        <v>1</v>
      </c>
      <c r="D1" t="s">
        <v>2</v>
      </c>
      <c r="E1" t="s">
        <v>43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38</v>
      </c>
      <c r="M1" t="s">
        <v>9</v>
      </c>
      <c r="N1" t="s">
        <v>10</v>
      </c>
      <c r="O1" t="s">
        <v>12</v>
      </c>
      <c r="P1" t="s">
        <v>19</v>
      </c>
      <c r="Q1" s="4" t="s">
        <v>17</v>
      </c>
      <c r="R1" s="5" t="s">
        <v>20</v>
      </c>
      <c r="S1" s="5" t="s">
        <v>21</v>
      </c>
      <c r="T1" t="s">
        <v>22</v>
      </c>
      <c r="U1" t="s">
        <v>23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</row>
    <row r="2" spans="1:33" x14ac:dyDescent="0.45">
      <c r="A2">
        <v>1</v>
      </c>
      <c r="B2">
        <v>1</v>
      </c>
      <c r="C2">
        <v>1</v>
      </c>
      <c r="D2" t="s">
        <v>11</v>
      </c>
      <c r="E2">
        <v>1</v>
      </c>
      <c r="F2">
        <v>1.1399999999999999</v>
      </c>
      <c r="G2">
        <v>1.0289999999999999</v>
      </c>
      <c r="H2">
        <v>1.262</v>
      </c>
      <c r="I2">
        <v>93</v>
      </c>
      <c r="J2">
        <v>623</v>
      </c>
      <c r="K2">
        <v>8817</v>
      </c>
      <c r="L2">
        <v>105804</v>
      </c>
      <c r="M2">
        <v>12</v>
      </c>
      <c r="N2">
        <v>2</v>
      </c>
      <c r="O2">
        <v>0</v>
      </c>
      <c r="P2">
        <v>1</v>
      </c>
      <c r="S2">
        <v>1</v>
      </c>
      <c r="T2">
        <v>1</v>
      </c>
      <c r="U2">
        <v>49.5</v>
      </c>
      <c r="W2">
        <v>1</v>
      </c>
      <c r="X2">
        <v>1</v>
      </c>
      <c r="Z2">
        <v>1</v>
      </c>
      <c r="AD2">
        <v>5</v>
      </c>
      <c r="AG2">
        <v>0</v>
      </c>
    </row>
    <row r="3" spans="1:33" x14ac:dyDescent="0.45">
      <c r="A3">
        <v>1</v>
      </c>
      <c r="B3">
        <v>1</v>
      </c>
      <c r="C3">
        <v>1</v>
      </c>
      <c r="D3" t="s">
        <v>11</v>
      </c>
      <c r="E3">
        <v>2</v>
      </c>
      <c r="F3">
        <v>1</v>
      </c>
      <c r="G3">
        <v>1</v>
      </c>
      <c r="H3">
        <v>1</v>
      </c>
      <c r="I3">
        <v>97.5</v>
      </c>
      <c r="J3">
        <v>1067</v>
      </c>
      <c r="K3">
        <v>12797</v>
      </c>
      <c r="L3">
        <v>153564</v>
      </c>
      <c r="M3">
        <v>12</v>
      </c>
      <c r="N3">
        <v>2</v>
      </c>
      <c r="O3">
        <v>1</v>
      </c>
      <c r="P3">
        <v>1</v>
      </c>
      <c r="S3">
        <v>1</v>
      </c>
      <c r="T3">
        <v>1</v>
      </c>
      <c r="U3">
        <v>49.5</v>
      </c>
      <c r="W3">
        <v>1</v>
      </c>
      <c r="X3">
        <v>1</v>
      </c>
      <c r="Z3">
        <v>1</v>
      </c>
      <c r="AD3">
        <v>5</v>
      </c>
      <c r="AG3">
        <v>0</v>
      </c>
    </row>
    <row r="4" spans="1:33" x14ac:dyDescent="0.45">
      <c r="A4">
        <v>1</v>
      </c>
      <c r="B4">
        <v>1</v>
      </c>
      <c r="C4">
        <v>1</v>
      </c>
      <c r="D4" t="s">
        <v>11</v>
      </c>
      <c r="E4">
        <v>3</v>
      </c>
      <c r="F4">
        <v>0.878</v>
      </c>
      <c r="G4">
        <v>0.80800000000000005</v>
      </c>
      <c r="H4">
        <v>0.95499999999999996</v>
      </c>
      <c r="I4">
        <v>102</v>
      </c>
      <c r="J4">
        <v>1424</v>
      </c>
      <c r="K4">
        <v>16043</v>
      </c>
      <c r="L4">
        <v>192516</v>
      </c>
      <c r="M4">
        <v>12</v>
      </c>
      <c r="N4">
        <v>2</v>
      </c>
      <c r="O4">
        <v>1</v>
      </c>
      <c r="P4">
        <v>1</v>
      </c>
      <c r="S4">
        <v>1</v>
      </c>
      <c r="T4">
        <v>1</v>
      </c>
      <c r="U4">
        <v>49.5</v>
      </c>
      <c r="W4">
        <v>1</v>
      </c>
      <c r="X4">
        <v>1</v>
      </c>
      <c r="Z4">
        <v>1</v>
      </c>
      <c r="AD4">
        <v>5</v>
      </c>
      <c r="AG4">
        <v>0</v>
      </c>
    </row>
    <row r="5" spans="1:33" x14ac:dyDescent="0.45">
      <c r="A5">
        <v>1</v>
      </c>
      <c r="B5">
        <v>1</v>
      </c>
      <c r="C5">
        <v>1</v>
      </c>
      <c r="D5" t="s">
        <v>11</v>
      </c>
      <c r="E5">
        <v>4</v>
      </c>
      <c r="F5">
        <v>0.86399999999999999</v>
      </c>
      <c r="G5">
        <v>0.79100000000000004</v>
      </c>
      <c r="H5">
        <v>0.94499999999999995</v>
      </c>
      <c r="I5">
        <v>107</v>
      </c>
      <c r="J5">
        <v>956</v>
      </c>
      <c r="K5">
        <v>9969</v>
      </c>
      <c r="L5">
        <v>119628</v>
      </c>
      <c r="M5">
        <v>12</v>
      </c>
      <c r="N5">
        <v>2</v>
      </c>
      <c r="O5">
        <v>1</v>
      </c>
      <c r="P5">
        <v>1</v>
      </c>
      <c r="S5">
        <v>1</v>
      </c>
      <c r="T5">
        <v>1</v>
      </c>
      <c r="U5">
        <v>49.5</v>
      </c>
      <c r="W5">
        <v>1</v>
      </c>
      <c r="X5">
        <v>1</v>
      </c>
      <c r="Z5">
        <v>1</v>
      </c>
      <c r="AD5">
        <v>5</v>
      </c>
      <c r="AG5">
        <v>0</v>
      </c>
    </row>
    <row r="6" spans="1:33" x14ac:dyDescent="0.45">
      <c r="A6">
        <v>1</v>
      </c>
      <c r="B6">
        <v>1</v>
      </c>
      <c r="C6">
        <v>1</v>
      </c>
      <c r="D6" t="s">
        <v>11</v>
      </c>
      <c r="E6">
        <v>5</v>
      </c>
      <c r="F6">
        <v>1.089</v>
      </c>
      <c r="G6">
        <v>0.997</v>
      </c>
      <c r="H6">
        <v>1.19</v>
      </c>
      <c r="I6">
        <v>112</v>
      </c>
      <c r="J6">
        <v>1099</v>
      </c>
      <c r="K6">
        <v>8927</v>
      </c>
      <c r="L6">
        <v>107124</v>
      </c>
      <c r="M6">
        <v>12</v>
      </c>
      <c r="N6">
        <v>2</v>
      </c>
      <c r="O6">
        <v>1</v>
      </c>
      <c r="P6">
        <v>1</v>
      </c>
      <c r="S6">
        <v>1</v>
      </c>
      <c r="T6">
        <v>1</v>
      </c>
      <c r="U6">
        <v>49.5</v>
      </c>
      <c r="W6">
        <v>1</v>
      </c>
      <c r="X6">
        <v>1</v>
      </c>
      <c r="Z6">
        <v>1</v>
      </c>
      <c r="AD6">
        <v>5</v>
      </c>
      <c r="AG6">
        <v>0</v>
      </c>
    </row>
    <row r="7" spans="1:33" x14ac:dyDescent="0.45">
      <c r="A7">
        <v>1</v>
      </c>
      <c r="B7">
        <v>2</v>
      </c>
      <c r="C7">
        <v>1</v>
      </c>
      <c r="D7" t="s">
        <v>11</v>
      </c>
      <c r="E7">
        <v>1</v>
      </c>
      <c r="F7">
        <v>1.18</v>
      </c>
      <c r="G7">
        <v>1.02</v>
      </c>
      <c r="H7">
        <v>1.36</v>
      </c>
      <c r="I7">
        <v>93</v>
      </c>
      <c r="J7">
        <v>275</v>
      </c>
      <c r="K7">
        <v>2360</v>
      </c>
      <c r="L7">
        <f>PRODUCT(K7,M7)</f>
        <v>28320</v>
      </c>
      <c r="M7">
        <v>12</v>
      </c>
      <c r="N7">
        <v>2</v>
      </c>
      <c r="O7">
        <v>0</v>
      </c>
      <c r="Q7">
        <v>1</v>
      </c>
      <c r="S7">
        <v>1</v>
      </c>
      <c r="T7">
        <v>1</v>
      </c>
      <c r="U7">
        <v>49.5</v>
      </c>
      <c r="W7">
        <v>1</v>
      </c>
      <c r="X7">
        <v>1</v>
      </c>
      <c r="Z7">
        <v>1</v>
      </c>
      <c r="AD7">
        <v>5</v>
      </c>
      <c r="AG7">
        <v>0</v>
      </c>
    </row>
    <row r="8" spans="1:33" x14ac:dyDescent="0.45">
      <c r="A8">
        <v>1</v>
      </c>
      <c r="B8">
        <v>2</v>
      </c>
      <c r="C8">
        <v>1</v>
      </c>
      <c r="D8" t="s">
        <v>11</v>
      </c>
      <c r="E8">
        <v>2</v>
      </c>
      <c r="F8">
        <v>1</v>
      </c>
      <c r="G8">
        <v>1</v>
      </c>
      <c r="H8">
        <v>1</v>
      </c>
      <c r="I8">
        <v>97.5</v>
      </c>
      <c r="J8">
        <v>639</v>
      </c>
      <c r="K8">
        <v>6158</v>
      </c>
      <c r="L8">
        <f t="shared" ref="L8:L16" si="0">PRODUCT(K8,M8)</f>
        <v>73896</v>
      </c>
      <c r="M8">
        <v>12</v>
      </c>
      <c r="N8">
        <v>2</v>
      </c>
      <c r="O8">
        <v>1</v>
      </c>
      <c r="Q8">
        <v>1</v>
      </c>
      <c r="S8">
        <v>1</v>
      </c>
      <c r="T8">
        <v>1</v>
      </c>
      <c r="U8">
        <v>49.5</v>
      </c>
      <c r="W8">
        <v>1</v>
      </c>
      <c r="X8">
        <v>1</v>
      </c>
      <c r="Z8">
        <v>1</v>
      </c>
      <c r="AD8">
        <v>5</v>
      </c>
      <c r="AG8">
        <v>0</v>
      </c>
    </row>
    <row r="9" spans="1:33" x14ac:dyDescent="0.45">
      <c r="A9">
        <v>1</v>
      </c>
      <c r="B9">
        <v>2</v>
      </c>
      <c r="C9">
        <v>1</v>
      </c>
      <c r="D9" t="s">
        <v>11</v>
      </c>
      <c r="E9">
        <v>3</v>
      </c>
      <c r="F9">
        <v>0.89</v>
      </c>
      <c r="G9">
        <v>0.8</v>
      </c>
      <c r="H9">
        <v>0.99</v>
      </c>
      <c r="I9">
        <v>102</v>
      </c>
      <c r="J9">
        <v>925</v>
      </c>
      <c r="K9">
        <v>9203</v>
      </c>
      <c r="L9">
        <f t="shared" si="0"/>
        <v>110436</v>
      </c>
      <c r="M9">
        <v>12</v>
      </c>
      <c r="N9">
        <v>2</v>
      </c>
      <c r="O9">
        <v>1</v>
      </c>
      <c r="Q9">
        <v>1</v>
      </c>
      <c r="S9">
        <v>1</v>
      </c>
      <c r="T9">
        <v>1</v>
      </c>
      <c r="U9">
        <v>49.5</v>
      </c>
      <c r="W9">
        <v>1</v>
      </c>
      <c r="X9">
        <v>1</v>
      </c>
      <c r="Z9">
        <v>1</v>
      </c>
      <c r="AD9">
        <v>5</v>
      </c>
      <c r="AG9">
        <v>0</v>
      </c>
    </row>
    <row r="10" spans="1:33" x14ac:dyDescent="0.45">
      <c r="A10">
        <v>1</v>
      </c>
      <c r="B10">
        <v>2</v>
      </c>
      <c r="C10">
        <v>1</v>
      </c>
      <c r="D10" t="s">
        <v>11</v>
      </c>
      <c r="E10">
        <v>4</v>
      </c>
      <c r="F10">
        <v>0.86</v>
      </c>
      <c r="G10">
        <v>0.76</v>
      </c>
      <c r="H10">
        <v>0.96</v>
      </c>
      <c r="I10">
        <v>107</v>
      </c>
      <c r="J10">
        <v>546</v>
      </c>
      <c r="K10">
        <v>5471</v>
      </c>
      <c r="L10">
        <f t="shared" si="0"/>
        <v>65652</v>
      </c>
      <c r="M10">
        <v>12</v>
      </c>
      <c r="N10">
        <v>2</v>
      </c>
      <c r="O10">
        <v>1</v>
      </c>
      <c r="Q10">
        <v>1</v>
      </c>
      <c r="S10">
        <v>1</v>
      </c>
      <c r="T10">
        <v>1</v>
      </c>
      <c r="U10">
        <v>49.5</v>
      </c>
      <c r="W10">
        <v>1</v>
      </c>
      <c r="X10">
        <v>1</v>
      </c>
      <c r="Z10">
        <v>1</v>
      </c>
      <c r="AD10">
        <v>5</v>
      </c>
      <c r="AG10">
        <v>0</v>
      </c>
    </row>
    <row r="11" spans="1:33" x14ac:dyDescent="0.45">
      <c r="A11">
        <v>1</v>
      </c>
      <c r="B11">
        <v>2</v>
      </c>
      <c r="C11">
        <v>1</v>
      </c>
      <c r="D11" t="s">
        <v>11</v>
      </c>
      <c r="E11">
        <v>5</v>
      </c>
      <c r="F11">
        <v>1.17</v>
      </c>
      <c r="G11">
        <v>1.03</v>
      </c>
      <c r="H11">
        <v>1.33</v>
      </c>
      <c r="I11">
        <v>112</v>
      </c>
      <c r="J11">
        <v>420</v>
      </c>
      <c r="K11">
        <v>3165</v>
      </c>
      <c r="L11">
        <f t="shared" si="0"/>
        <v>37980</v>
      </c>
      <c r="M11">
        <v>12</v>
      </c>
      <c r="N11">
        <v>2</v>
      </c>
      <c r="O11">
        <v>1</v>
      </c>
      <c r="Q11">
        <v>1</v>
      </c>
      <c r="S11">
        <v>1</v>
      </c>
      <c r="T11">
        <v>1</v>
      </c>
      <c r="U11">
        <v>49.5</v>
      </c>
      <c r="W11">
        <v>1</v>
      </c>
      <c r="X11">
        <v>1</v>
      </c>
      <c r="Z11">
        <v>1</v>
      </c>
      <c r="AD11">
        <v>5</v>
      </c>
      <c r="AG11">
        <v>0</v>
      </c>
    </row>
    <row r="12" spans="1:33" x14ac:dyDescent="0.45">
      <c r="A12">
        <v>1</v>
      </c>
      <c r="B12">
        <v>3</v>
      </c>
      <c r="C12">
        <v>1</v>
      </c>
      <c r="D12" t="s">
        <v>11</v>
      </c>
      <c r="E12">
        <v>1</v>
      </c>
      <c r="F12">
        <v>1.1000000000000001</v>
      </c>
      <c r="G12">
        <v>0.95</v>
      </c>
      <c r="H12">
        <v>1.27</v>
      </c>
      <c r="I12">
        <v>93</v>
      </c>
      <c r="J12">
        <v>348</v>
      </c>
      <c r="K12">
        <v>6457</v>
      </c>
      <c r="L12">
        <f t="shared" si="0"/>
        <v>77484</v>
      </c>
      <c r="M12">
        <v>12</v>
      </c>
      <c r="N12">
        <v>2</v>
      </c>
      <c r="O12">
        <v>0</v>
      </c>
      <c r="Q12">
        <v>2</v>
      </c>
      <c r="S12">
        <v>1</v>
      </c>
      <c r="T12">
        <v>1</v>
      </c>
      <c r="U12">
        <v>49.5</v>
      </c>
      <c r="W12">
        <v>1</v>
      </c>
      <c r="X12">
        <v>1</v>
      </c>
      <c r="Z12">
        <v>1</v>
      </c>
      <c r="AD12">
        <v>5</v>
      </c>
      <c r="AG12">
        <v>0</v>
      </c>
    </row>
    <row r="13" spans="1:33" x14ac:dyDescent="0.45">
      <c r="A13">
        <v>1</v>
      </c>
      <c r="B13">
        <v>3</v>
      </c>
      <c r="C13">
        <v>1</v>
      </c>
      <c r="D13" t="s">
        <v>11</v>
      </c>
      <c r="E13">
        <v>2</v>
      </c>
      <c r="F13">
        <v>1</v>
      </c>
      <c r="G13">
        <v>1</v>
      </c>
      <c r="H13">
        <v>1</v>
      </c>
      <c r="I13">
        <v>97.5</v>
      </c>
      <c r="J13">
        <v>428</v>
      </c>
      <c r="K13">
        <v>6639</v>
      </c>
      <c r="L13">
        <f t="shared" si="0"/>
        <v>79668</v>
      </c>
      <c r="M13">
        <v>12</v>
      </c>
      <c r="N13">
        <v>2</v>
      </c>
      <c r="O13">
        <v>1</v>
      </c>
      <c r="Q13">
        <v>2</v>
      </c>
      <c r="S13">
        <v>1</v>
      </c>
      <c r="T13">
        <v>1</v>
      </c>
      <c r="U13">
        <v>49.5</v>
      </c>
      <c r="W13">
        <v>1</v>
      </c>
      <c r="X13">
        <v>1</v>
      </c>
      <c r="Z13">
        <v>1</v>
      </c>
      <c r="AD13">
        <v>5</v>
      </c>
      <c r="AG13">
        <v>0</v>
      </c>
    </row>
    <row r="14" spans="1:33" x14ac:dyDescent="0.45">
      <c r="A14">
        <v>1</v>
      </c>
      <c r="B14">
        <v>3</v>
      </c>
      <c r="C14">
        <v>1</v>
      </c>
      <c r="D14" t="s">
        <v>11</v>
      </c>
      <c r="E14">
        <v>3</v>
      </c>
      <c r="F14">
        <v>0.86</v>
      </c>
      <c r="G14">
        <v>0.75</v>
      </c>
      <c r="H14">
        <v>0.98</v>
      </c>
      <c r="I14">
        <v>102</v>
      </c>
      <c r="J14">
        <v>499</v>
      </c>
      <c r="K14">
        <v>6840</v>
      </c>
      <c r="L14">
        <f t="shared" si="0"/>
        <v>82080</v>
      </c>
      <c r="M14">
        <v>12</v>
      </c>
      <c r="N14">
        <v>2</v>
      </c>
      <c r="O14">
        <v>1</v>
      </c>
      <c r="Q14">
        <v>2</v>
      </c>
      <c r="S14">
        <v>1</v>
      </c>
      <c r="T14">
        <v>1</v>
      </c>
      <c r="U14">
        <v>49.5</v>
      </c>
      <c r="W14">
        <v>1</v>
      </c>
      <c r="X14">
        <v>1</v>
      </c>
      <c r="Z14">
        <v>1</v>
      </c>
      <c r="AD14">
        <v>5</v>
      </c>
      <c r="AG14">
        <v>0</v>
      </c>
    </row>
    <row r="15" spans="1:33" x14ac:dyDescent="0.45">
      <c r="A15">
        <v>1</v>
      </c>
      <c r="B15">
        <v>3</v>
      </c>
      <c r="C15">
        <v>1</v>
      </c>
      <c r="D15" t="s">
        <v>11</v>
      </c>
      <c r="E15">
        <v>4</v>
      </c>
      <c r="F15">
        <v>0.87</v>
      </c>
      <c r="G15">
        <v>0.76</v>
      </c>
      <c r="H15">
        <v>1</v>
      </c>
      <c r="I15">
        <v>107</v>
      </c>
      <c r="J15">
        <v>410</v>
      </c>
      <c r="K15">
        <v>4498</v>
      </c>
      <c r="L15">
        <f t="shared" si="0"/>
        <v>53976</v>
      </c>
      <c r="M15">
        <v>12</v>
      </c>
      <c r="N15">
        <v>2</v>
      </c>
      <c r="O15">
        <v>1</v>
      </c>
      <c r="Q15">
        <v>2</v>
      </c>
      <c r="S15">
        <v>1</v>
      </c>
      <c r="T15">
        <v>1</v>
      </c>
      <c r="U15">
        <v>49.5</v>
      </c>
      <c r="W15">
        <v>1</v>
      </c>
      <c r="X15">
        <v>1</v>
      </c>
      <c r="Z15">
        <v>1</v>
      </c>
      <c r="AD15">
        <v>5</v>
      </c>
      <c r="AG15">
        <v>0</v>
      </c>
    </row>
    <row r="16" spans="1:33" x14ac:dyDescent="0.45">
      <c r="A16">
        <v>1</v>
      </c>
      <c r="B16">
        <v>3</v>
      </c>
      <c r="C16">
        <v>1</v>
      </c>
      <c r="D16" t="s">
        <v>11</v>
      </c>
      <c r="E16">
        <v>5</v>
      </c>
      <c r="F16">
        <v>1.02</v>
      </c>
      <c r="G16">
        <v>0.9</v>
      </c>
      <c r="H16">
        <v>1.1499999999999999</v>
      </c>
      <c r="I16">
        <v>112</v>
      </c>
      <c r="J16">
        <v>679</v>
      </c>
      <c r="K16">
        <v>5762</v>
      </c>
      <c r="L16">
        <f t="shared" si="0"/>
        <v>69144</v>
      </c>
      <c r="M16">
        <v>12</v>
      </c>
      <c r="N16">
        <v>2</v>
      </c>
      <c r="O16">
        <v>1</v>
      </c>
      <c r="Q16">
        <v>2</v>
      </c>
      <c r="S16">
        <v>1</v>
      </c>
      <c r="T16">
        <v>1</v>
      </c>
      <c r="U16">
        <v>49.5</v>
      </c>
      <c r="W16">
        <v>1</v>
      </c>
      <c r="X16">
        <v>1</v>
      </c>
      <c r="Z16">
        <v>1</v>
      </c>
      <c r="AD16">
        <v>5</v>
      </c>
      <c r="AG16">
        <v>0</v>
      </c>
    </row>
    <row r="17" spans="1:33" x14ac:dyDescent="0.45">
      <c r="A17">
        <v>2</v>
      </c>
      <c r="B17">
        <v>4</v>
      </c>
      <c r="C17">
        <v>1</v>
      </c>
      <c r="D17" t="s">
        <v>13</v>
      </c>
      <c r="E17">
        <v>1</v>
      </c>
      <c r="F17">
        <v>1</v>
      </c>
      <c r="G17">
        <v>1</v>
      </c>
      <c r="H17">
        <v>1</v>
      </c>
      <c r="I17">
        <v>90.5</v>
      </c>
      <c r="J17">
        <v>227</v>
      </c>
      <c r="K17">
        <v>573.4</v>
      </c>
      <c r="L17">
        <v>3440.4</v>
      </c>
      <c r="M17">
        <v>6</v>
      </c>
      <c r="N17">
        <v>2</v>
      </c>
      <c r="O17">
        <v>1</v>
      </c>
      <c r="P17">
        <v>1</v>
      </c>
      <c r="T17">
        <v>0</v>
      </c>
      <c r="U17">
        <v>48.9</v>
      </c>
      <c r="V17">
        <v>1</v>
      </c>
      <c r="X17">
        <v>1</v>
      </c>
      <c r="Z17">
        <v>1</v>
      </c>
      <c r="AD17">
        <v>5</v>
      </c>
      <c r="AG17">
        <v>0</v>
      </c>
    </row>
    <row r="18" spans="1:33" x14ac:dyDescent="0.45">
      <c r="A18">
        <v>2</v>
      </c>
      <c r="B18">
        <v>4</v>
      </c>
      <c r="C18">
        <v>1</v>
      </c>
      <c r="D18" t="s">
        <v>13</v>
      </c>
      <c r="E18">
        <v>2</v>
      </c>
      <c r="F18">
        <v>0.73</v>
      </c>
      <c r="G18">
        <v>0.56999999999999995</v>
      </c>
      <c r="H18">
        <v>0.92</v>
      </c>
      <c r="I18">
        <v>94</v>
      </c>
      <c r="J18">
        <v>165</v>
      </c>
      <c r="K18">
        <v>573.4</v>
      </c>
      <c r="L18">
        <v>3440.4</v>
      </c>
      <c r="M18">
        <v>6</v>
      </c>
      <c r="N18">
        <v>2</v>
      </c>
      <c r="O18">
        <v>1</v>
      </c>
      <c r="P18">
        <v>1</v>
      </c>
      <c r="T18">
        <v>0</v>
      </c>
      <c r="U18">
        <v>48.9</v>
      </c>
      <c r="V18">
        <v>1</v>
      </c>
      <c r="X18">
        <v>1</v>
      </c>
      <c r="Z18">
        <v>1</v>
      </c>
      <c r="AD18">
        <v>5</v>
      </c>
      <c r="AG18">
        <v>0</v>
      </c>
    </row>
    <row r="19" spans="1:33" x14ac:dyDescent="0.45">
      <c r="A19">
        <v>2</v>
      </c>
      <c r="B19">
        <v>4</v>
      </c>
      <c r="C19">
        <v>1</v>
      </c>
      <c r="D19" t="s">
        <v>13</v>
      </c>
      <c r="E19">
        <v>3</v>
      </c>
      <c r="F19">
        <v>0.55000000000000004</v>
      </c>
      <c r="G19">
        <v>0.43</v>
      </c>
      <c r="H19">
        <v>0.71</v>
      </c>
      <c r="I19">
        <v>97.75</v>
      </c>
      <c r="J19">
        <v>125</v>
      </c>
      <c r="K19">
        <v>573.4</v>
      </c>
      <c r="L19">
        <v>3440.4</v>
      </c>
      <c r="M19">
        <v>6</v>
      </c>
      <c r="N19">
        <v>2</v>
      </c>
      <c r="O19">
        <v>1</v>
      </c>
      <c r="P19">
        <v>1</v>
      </c>
      <c r="T19">
        <v>0</v>
      </c>
      <c r="U19">
        <v>48.9</v>
      </c>
      <c r="V19">
        <v>1</v>
      </c>
      <c r="X19">
        <v>1</v>
      </c>
      <c r="Z19">
        <v>1</v>
      </c>
      <c r="AD19">
        <v>5</v>
      </c>
      <c r="AG19">
        <v>0</v>
      </c>
    </row>
    <row r="20" spans="1:33" x14ac:dyDescent="0.45">
      <c r="A20">
        <v>2</v>
      </c>
      <c r="B20">
        <v>4</v>
      </c>
      <c r="C20">
        <v>1</v>
      </c>
      <c r="D20" t="s">
        <v>13</v>
      </c>
      <c r="E20">
        <v>4</v>
      </c>
      <c r="F20">
        <v>0.57999999999999996</v>
      </c>
      <c r="G20">
        <v>0.44</v>
      </c>
      <c r="H20">
        <v>0.76</v>
      </c>
      <c r="I20">
        <v>102.25</v>
      </c>
      <c r="J20">
        <v>131</v>
      </c>
      <c r="K20">
        <v>573.4</v>
      </c>
      <c r="L20">
        <v>3440.4</v>
      </c>
      <c r="M20">
        <v>6</v>
      </c>
      <c r="N20">
        <v>2</v>
      </c>
      <c r="O20">
        <v>1</v>
      </c>
      <c r="P20">
        <v>1</v>
      </c>
      <c r="T20">
        <v>0</v>
      </c>
      <c r="U20">
        <v>48.9</v>
      </c>
      <c r="V20">
        <v>1</v>
      </c>
      <c r="X20">
        <v>1</v>
      </c>
      <c r="Z20">
        <v>1</v>
      </c>
      <c r="AD20">
        <v>5</v>
      </c>
      <c r="AG20">
        <v>0</v>
      </c>
    </row>
    <row r="21" spans="1:33" x14ac:dyDescent="0.45">
      <c r="A21">
        <v>2</v>
      </c>
      <c r="B21">
        <v>4</v>
      </c>
      <c r="C21">
        <v>1</v>
      </c>
      <c r="D21" t="s">
        <v>13</v>
      </c>
      <c r="E21">
        <v>5</v>
      </c>
      <c r="F21">
        <v>0.54</v>
      </c>
      <c r="G21">
        <v>0.37</v>
      </c>
      <c r="H21">
        <v>0.78</v>
      </c>
      <c r="I21">
        <v>107.25</v>
      </c>
      <c r="J21">
        <v>122</v>
      </c>
      <c r="K21">
        <v>573.4</v>
      </c>
      <c r="L21">
        <v>3440.4</v>
      </c>
      <c r="M21">
        <v>6</v>
      </c>
      <c r="N21">
        <v>2</v>
      </c>
      <c r="O21">
        <v>1</v>
      </c>
      <c r="P21">
        <v>1</v>
      </c>
      <c r="T21">
        <v>0</v>
      </c>
      <c r="U21">
        <v>48.9</v>
      </c>
      <c r="V21">
        <v>1</v>
      </c>
      <c r="X21">
        <v>1</v>
      </c>
      <c r="Z21">
        <v>1</v>
      </c>
      <c r="AD21">
        <v>5</v>
      </c>
      <c r="AG21">
        <v>0</v>
      </c>
    </row>
    <row r="22" spans="1:33" x14ac:dyDescent="0.45">
      <c r="A22">
        <v>3</v>
      </c>
      <c r="B22">
        <v>5</v>
      </c>
      <c r="C22">
        <v>1</v>
      </c>
      <c r="D22" t="s">
        <v>14</v>
      </c>
      <c r="E22">
        <v>1</v>
      </c>
      <c r="F22">
        <v>1</v>
      </c>
      <c r="G22">
        <v>1</v>
      </c>
      <c r="H22">
        <v>1</v>
      </c>
      <c r="I22">
        <v>92</v>
      </c>
      <c r="J22">
        <v>2213</v>
      </c>
      <c r="K22">
        <v>15501</v>
      </c>
      <c r="L22">
        <v>209263.5</v>
      </c>
      <c r="M22">
        <v>13.5</v>
      </c>
      <c r="N22">
        <v>3</v>
      </c>
      <c r="O22">
        <v>1</v>
      </c>
      <c r="Q22">
        <v>2</v>
      </c>
      <c r="S22">
        <v>1</v>
      </c>
      <c r="T22">
        <v>1</v>
      </c>
      <c r="U22">
        <v>63.3</v>
      </c>
      <c r="W22">
        <v>1</v>
      </c>
      <c r="X22">
        <v>1</v>
      </c>
      <c r="Y22">
        <v>1</v>
      </c>
      <c r="AA22">
        <v>1</v>
      </c>
      <c r="AB22">
        <v>1</v>
      </c>
      <c r="AD22">
        <v>5</v>
      </c>
      <c r="AE22">
        <v>1</v>
      </c>
      <c r="AF22">
        <v>50</v>
      </c>
      <c r="AG22">
        <v>0</v>
      </c>
    </row>
    <row r="23" spans="1:33" x14ac:dyDescent="0.45">
      <c r="A23">
        <v>3</v>
      </c>
      <c r="B23">
        <v>5</v>
      </c>
      <c r="C23">
        <v>1</v>
      </c>
      <c r="D23" t="s">
        <v>14</v>
      </c>
      <c r="E23">
        <v>2</v>
      </c>
      <c r="F23">
        <v>0.92</v>
      </c>
      <c r="G23">
        <v>0.87</v>
      </c>
      <c r="H23">
        <v>0.99</v>
      </c>
      <c r="I23">
        <v>98</v>
      </c>
      <c r="J23">
        <v>2104</v>
      </c>
      <c r="K23">
        <v>15501</v>
      </c>
      <c r="L23">
        <v>209263.5</v>
      </c>
      <c r="M23">
        <v>13.5</v>
      </c>
      <c r="N23">
        <v>3</v>
      </c>
      <c r="O23">
        <v>1</v>
      </c>
      <c r="Q23">
        <v>2</v>
      </c>
      <c r="S23">
        <v>1</v>
      </c>
      <c r="T23">
        <v>1</v>
      </c>
      <c r="U23">
        <v>63.3</v>
      </c>
      <c r="W23">
        <v>1</v>
      </c>
      <c r="X23">
        <v>1</v>
      </c>
      <c r="Y23">
        <v>1</v>
      </c>
      <c r="AA23">
        <v>1</v>
      </c>
      <c r="AB23">
        <v>1</v>
      </c>
      <c r="AD23">
        <v>5</v>
      </c>
      <c r="AE23">
        <v>1</v>
      </c>
      <c r="AF23">
        <v>50</v>
      </c>
      <c r="AG23">
        <v>0</v>
      </c>
    </row>
    <row r="24" spans="1:33" x14ac:dyDescent="0.45">
      <c r="A24">
        <v>3</v>
      </c>
      <c r="B24">
        <v>5</v>
      </c>
      <c r="C24">
        <v>1</v>
      </c>
      <c r="D24" t="s">
        <v>14</v>
      </c>
      <c r="E24">
        <v>3</v>
      </c>
      <c r="F24">
        <v>0.9</v>
      </c>
      <c r="G24">
        <v>0.84</v>
      </c>
      <c r="H24">
        <v>0.96</v>
      </c>
      <c r="I24">
        <v>103</v>
      </c>
      <c r="J24">
        <v>1964</v>
      </c>
      <c r="K24">
        <v>15501</v>
      </c>
      <c r="L24">
        <v>209263.5</v>
      </c>
      <c r="M24">
        <v>13.5</v>
      </c>
      <c r="N24">
        <v>3</v>
      </c>
      <c r="O24">
        <v>1</v>
      </c>
      <c r="Q24">
        <v>2</v>
      </c>
      <c r="S24">
        <v>1</v>
      </c>
      <c r="T24">
        <v>1</v>
      </c>
      <c r="U24">
        <v>63.3</v>
      </c>
      <c r="W24">
        <v>1</v>
      </c>
      <c r="X24">
        <v>1</v>
      </c>
      <c r="Y24">
        <v>1</v>
      </c>
      <c r="AA24">
        <v>1</v>
      </c>
      <c r="AB24">
        <v>1</v>
      </c>
      <c r="AD24">
        <v>5</v>
      </c>
      <c r="AE24">
        <v>1</v>
      </c>
      <c r="AF24">
        <v>50</v>
      </c>
      <c r="AG24">
        <v>0</v>
      </c>
    </row>
    <row r="25" spans="1:33" x14ac:dyDescent="0.45">
      <c r="A25">
        <v>3</v>
      </c>
      <c r="B25">
        <v>5</v>
      </c>
      <c r="C25">
        <v>1</v>
      </c>
      <c r="D25" t="s">
        <v>14</v>
      </c>
      <c r="E25">
        <v>4</v>
      </c>
      <c r="F25">
        <v>0.9</v>
      </c>
      <c r="G25">
        <v>0.85</v>
      </c>
      <c r="H25">
        <v>0.97</v>
      </c>
      <c r="I25">
        <v>109</v>
      </c>
      <c r="J25">
        <v>2105</v>
      </c>
      <c r="K25">
        <v>15501</v>
      </c>
      <c r="L25">
        <v>209263.5</v>
      </c>
      <c r="M25">
        <v>13.5</v>
      </c>
      <c r="N25">
        <v>3</v>
      </c>
      <c r="O25">
        <v>1</v>
      </c>
      <c r="Q25">
        <v>2</v>
      </c>
      <c r="S25">
        <v>1</v>
      </c>
      <c r="T25">
        <v>1</v>
      </c>
      <c r="U25">
        <v>63.3</v>
      </c>
      <c r="W25">
        <v>1</v>
      </c>
      <c r="X25">
        <v>1</v>
      </c>
      <c r="Y25">
        <v>1</v>
      </c>
      <c r="AA25">
        <v>1</v>
      </c>
      <c r="AB25">
        <v>1</v>
      </c>
      <c r="AD25">
        <v>5</v>
      </c>
      <c r="AE25">
        <v>1</v>
      </c>
      <c r="AF25">
        <v>50</v>
      </c>
      <c r="AG25">
        <v>0</v>
      </c>
    </row>
    <row r="26" spans="1:33" x14ac:dyDescent="0.45">
      <c r="A26">
        <v>3</v>
      </c>
      <c r="B26">
        <v>5</v>
      </c>
      <c r="C26">
        <v>1</v>
      </c>
      <c r="D26" t="s">
        <v>14</v>
      </c>
      <c r="E26">
        <v>5</v>
      </c>
      <c r="F26">
        <v>1.1299999999999999</v>
      </c>
      <c r="G26">
        <v>1.05</v>
      </c>
      <c r="H26">
        <v>1.2</v>
      </c>
      <c r="I26">
        <v>120</v>
      </c>
      <c r="J26">
        <v>2375</v>
      </c>
      <c r="K26">
        <v>15501</v>
      </c>
      <c r="L26">
        <v>209263.5</v>
      </c>
      <c r="M26">
        <v>13.5</v>
      </c>
      <c r="N26">
        <v>3</v>
      </c>
      <c r="O26">
        <v>1</v>
      </c>
      <c r="Q26">
        <v>2</v>
      </c>
      <c r="S26">
        <v>1</v>
      </c>
      <c r="T26">
        <v>1</v>
      </c>
      <c r="U26">
        <v>63.3</v>
      </c>
      <c r="W26">
        <v>1</v>
      </c>
      <c r="X26">
        <v>1</v>
      </c>
      <c r="Y26">
        <v>1</v>
      </c>
      <c r="AA26">
        <v>1</v>
      </c>
      <c r="AB26">
        <v>1</v>
      </c>
      <c r="AD26">
        <v>5</v>
      </c>
      <c r="AE26">
        <v>1</v>
      </c>
      <c r="AF26">
        <v>50</v>
      </c>
      <c r="AG26">
        <v>0</v>
      </c>
    </row>
    <row r="27" spans="1:33" x14ac:dyDescent="0.45">
      <c r="A27">
        <v>3</v>
      </c>
      <c r="B27">
        <v>6</v>
      </c>
      <c r="C27">
        <v>1</v>
      </c>
      <c r="D27" t="s">
        <v>14</v>
      </c>
      <c r="E27">
        <v>1</v>
      </c>
      <c r="F27">
        <v>1</v>
      </c>
      <c r="G27">
        <v>1</v>
      </c>
      <c r="H27">
        <v>1</v>
      </c>
      <c r="I27">
        <v>92</v>
      </c>
      <c r="J27">
        <v>832</v>
      </c>
      <c r="K27">
        <v>7363</v>
      </c>
      <c r="L27">
        <f>PRODUCT(K27,M27)</f>
        <v>99400.5</v>
      </c>
      <c r="M27">
        <v>13.5</v>
      </c>
      <c r="N27">
        <v>3</v>
      </c>
      <c r="O27">
        <v>1</v>
      </c>
      <c r="Q27">
        <v>2</v>
      </c>
      <c r="R27">
        <v>1</v>
      </c>
      <c r="T27">
        <v>1</v>
      </c>
      <c r="U27">
        <v>63.3</v>
      </c>
      <c r="W27">
        <v>1</v>
      </c>
      <c r="X27">
        <v>1</v>
      </c>
      <c r="Y27">
        <v>1</v>
      </c>
      <c r="AA27">
        <v>1</v>
      </c>
      <c r="AB27">
        <v>1</v>
      </c>
      <c r="AD27">
        <v>5</v>
      </c>
      <c r="AE27" t="s">
        <v>39</v>
      </c>
      <c r="AF27">
        <v>50</v>
      </c>
      <c r="AG27">
        <v>0</v>
      </c>
    </row>
    <row r="28" spans="1:33" x14ac:dyDescent="0.45">
      <c r="A28">
        <v>3</v>
      </c>
      <c r="B28">
        <v>6</v>
      </c>
      <c r="C28">
        <v>1</v>
      </c>
      <c r="D28" t="s">
        <v>14</v>
      </c>
      <c r="E28">
        <v>2</v>
      </c>
      <c r="F28">
        <v>1.01</v>
      </c>
      <c r="G28">
        <v>0.91</v>
      </c>
      <c r="H28">
        <v>1.1100000000000001</v>
      </c>
      <c r="I28">
        <v>98</v>
      </c>
      <c r="J28">
        <v>835</v>
      </c>
      <c r="K28">
        <v>7261</v>
      </c>
      <c r="L28">
        <f t="shared" ref="L28:L31" si="1">PRODUCT(K28,M28)</f>
        <v>98023.5</v>
      </c>
      <c r="M28">
        <v>13.5</v>
      </c>
      <c r="N28">
        <v>3</v>
      </c>
      <c r="O28">
        <v>1</v>
      </c>
      <c r="Q28">
        <v>2</v>
      </c>
      <c r="R28">
        <v>1</v>
      </c>
      <c r="T28">
        <v>1</v>
      </c>
      <c r="U28">
        <v>63.3</v>
      </c>
      <c r="W28">
        <v>1</v>
      </c>
      <c r="X28">
        <v>1</v>
      </c>
      <c r="Y28">
        <v>1</v>
      </c>
      <c r="AA28">
        <v>1</v>
      </c>
      <c r="AB28">
        <v>1</v>
      </c>
      <c r="AD28">
        <v>5</v>
      </c>
      <c r="AE28" t="s">
        <v>39</v>
      </c>
      <c r="AF28">
        <v>50</v>
      </c>
      <c r="AG28">
        <v>0</v>
      </c>
    </row>
    <row r="29" spans="1:33" x14ac:dyDescent="0.45">
      <c r="A29">
        <v>3</v>
      </c>
      <c r="B29">
        <v>6</v>
      </c>
      <c r="C29">
        <v>1</v>
      </c>
      <c r="D29" t="s">
        <v>14</v>
      </c>
      <c r="E29">
        <v>3</v>
      </c>
      <c r="F29">
        <v>0.99</v>
      </c>
      <c r="G29">
        <v>0.9</v>
      </c>
      <c r="H29">
        <v>1.1100000000000001</v>
      </c>
      <c r="I29">
        <v>103</v>
      </c>
      <c r="J29">
        <v>782</v>
      </c>
      <c r="K29">
        <v>7045</v>
      </c>
      <c r="L29">
        <f t="shared" si="1"/>
        <v>95107.5</v>
      </c>
      <c r="M29">
        <v>13.5</v>
      </c>
      <c r="N29">
        <v>3</v>
      </c>
      <c r="O29">
        <v>1</v>
      </c>
      <c r="Q29">
        <v>2</v>
      </c>
      <c r="R29">
        <v>1</v>
      </c>
      <c r="T29">
        <v>1</v>
      </c>
      <c r="U29">
        <v>63.3</v>
      </c>
      <c r="W29">
        <v>1</v>
      </c>
      <c r="X29">
        <v>1</v>
      </c>
      <c r="Y29">
        <v>1</v>
      </c>
      <c r="AA29">
        <v>1</v>
      </c>
      <c r="AB29">
        <v>1</v>
      </c>
      <c r="AD29">
        <v>5</v>
      </c>
      <c r="AE29" t="s">
        <v>39</v>
      </c>
      <c r="AF29">
        <v>50</v>
      </c>
      <c r="AG29">
        <v>0</v>
      </c>
    </row>
    <row r="30" spans="1:33" x14ac:dyDescent="0.45">
      <c r="A30">
        <v>3</v>
      </c>
      <c r="B30">
        <v>6</v>
      </c>
      <c r="C30">
        <v>1</v>
      </c>
      <c r="D30" t="s">
        <v>14</v>
      </c>
      <c r="E30">
        <v>4</v>
      </c>
      <c r="F30">
        <v>0.98</v>
      </c>
      <c r="G30">
        <v>0.89</v>
      </c>
      <c r="H30">
        <v>1.08</v>
      </c>
      <c r="I30">
        <v>109</v>
      </c>
      <c r="J30">
        <v>800</v>
      </c>
      <c r="K30">
        <v>7207</v>
      </c>
      <c r="L30">
        <f t="shared" si="1"/>
        <v>97294.5</v>
      </c>
      <c r="M30">
        <v>13.5</v>
      </c>
      <c r="N30">
        <v>3</v>
      </c>
      <c r="O30">
        <v>1</v>
      </c>
      <c r="Q30">
        <v>2</v>
      </c>
      <c r="R30">
        <v>1</v>
      </c>
      <c r="T30">
        <v>1</v>
      </c>
      <c r="U30">
        <v>63.3</v>
      </c>
      <c r="W30">
        <v>1</v>
      </c>
      <c r="X30">
        <v>1</v>
      </c>
      <c r="Y30">
        <v>1</v>
      </c>
      <c r="AA30">
        <v>1</v>
      </c>
      <c r="AB30">
        <v>1</v>
      </c>
      <c r="AD30">
        <v>5</v>
      </c>
      <c r="AE30" t="s">
        <v>39</v>
      </c>
      <c r="AF30">
        <v>50</v>
      </c>
      <c r="AG30">
        <v>0</v>
      </c>
    </row>
    <row r="31" spans="1:33" x14ac:dyDescent="0.45">
      <c r="A31">
        <v>3</v>
      </c>
      <c r="B31">
        <v>6</v>
      </c>
      <c r="C31">
        <v>1</v>
      </c>
      <c r="D31" t="s">
        <v>14</v>
      </c>
      <c r="E31">
        <v>5</v>
      </c>
      <c r="F31">
        <v>1.3</v>
      </c>
      <c r="G31">
        <v>1.17</v>
      </c>
      <c r="H31">
        <v>1.43</v>
      </c>
      <c r="I31">
        <v>120</v>
      </c>
      <c r="J31">
        <v>949</v>
      </c>
      <c r="K31">
        <v>6590</v>
      </c>
      <c r="L31">
        <f t="shared" si="1"/>
        <v>88965</v>
      </c>
      <c r="M31">
        <v>13.5</v>
      </c>
      <c r="N31">
        <v>3</v>
      </c>
      <c r="O31">
        <v>1</v>
      </c>
      <c r="Q31">
        <v>2</v>
      </c>
      <c r="R31">
        <v>1</v>
      </c>
      <c r="T31">
        <v>1</v>
      </c>
      <c r="U31">
        <v>63.3</v>
      </c>
      <c r="W31">
        <v>1</v>
      </c>
      <c r="X31">
        <v>1</v>
      </c>
      <c r="Y31">
        <v>1</v>
      </c>
      <c r="AA31">
        <v>1</v>
      </c>
      <c r="AB31">
        <v>1</v>
      </c>
      <c r="AD31">
        <v>5</v>
      </c>
      <c r="AE31" t="s">
        <v>39</v>
      </c>
      <c r="AF31">
        <v>50</v>
      </c>
      <c r="AG31">
        <v>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D27D-C2CA-404A-B5A2-66D773F35091}">
  <dimension ref="A1:V8"/>
  <sheetViews>
    <sheetView workbookViewId="0"/>
  </sheetViews>
  <sheetFormatPr defaultRowHeight="17" x14ac:dyDescent="0.45"/>
  <cols>
    <col min="3" max="3" width="8.08203125" customWidth="1"/>
    <col min="4" max="4" width="16.1640625" bestFit="1" customWidth="1"/>
    <col min="5" max="6" width="9.5" customWidth="1"/>
    <col min="11" max="11" width="9.58203125" bestFit="1" customWidth="1"/>
    <col min="12" max="12" width="5.83203125" customWidth="1"/>
  </cols>
  <sheetData>
    <row r="1" spans="1:22" x14ac:dyDescent="0.45">
      <c r="A1" t="s">
        <v>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10</v>
      </c>
      <c r="K1" t="s">
        <v>19</v>
      </c>
      <c r="L1" s="4" t="s">
        <v>17</v>
      </c>
      <c r="M1" s="5" t="s">
        <v>20</v>
      </c>
      <c r="N1" s="5" t="s">
        <v>21</v>
      </c>
      <c r="O1" t="s">
        <v>23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35</v>
      </c>
      <c r="U1" s="3" t="s">
        <v>36</v>
      </c>
      <c r="V1" s="3" t="s">
        <v>37</v>
      </c>
    </row>
    <row r="2" spans="1:22" x14ac:dyDescent="0.45">
      <c r="A2">
        <v>1</v>
      </c>
      <c r="B2">
        <v>1</v>
      </c>
      <c r="C2">
        <v>1</v>
      </c>
      <c r="D2" t="s">
        <v>11</v>
      </c>
      <c r="E2">
        <v>1.0229999999999999</v>
      </c>
      <c r="F2">
        <v>0.98699999999999999</v>
      </c>
      <c r="G2">
        <v>1.06</v>
      </c>
      <c r="H2">
        <v>10</v>
      </c>
      <c r="I2">
        <v>12</v>
      </c>
      <c r="J2">
        <v>2</v>
      </c>
      <c r="K2">
        <v>1</v>
      </c>
      <c r="N2">
        <v>1</v>
      </c>
      <c r="Q2">
        <v>1</v>
      </c>
      <c r="R2">
        <v>1</v>
      </c>
      <c r="V2">
        <v>0</v>
      </c>
    </row>
    <row r="3" spans="1:22" x14ac:dyDescent="0.45">
      <c r="A3">
        <v>1</v>
      </c>
      <c r="B3">
        <v>2</v>
      </c>
      <c r="C3">
        <v>1</v>
      </c>
      <c r="D3" t="s">
        <v>11</v>
      </c>
      <c r="E3">
        <v>1.01</v>
      </c>
      <c r="F3">
        <v>0.95</v>
      </c>
      <c r="G3">
        <v>1.07</v>
      </c>
      <c r="H3">
        <v>10</v>
      </c>
      <c r="I3">
        <v>12</v>
      </c>
      <c r="J3">
        <v>2</v>
      </c>
      <c r="N3">
        <v>1</v>
      </c>
      <c r="Q3">
        <v>1</v>
      </c>
      <c r="R3">
        <v>1</v>
      </c>
      <c r="V3">
        <v>0</v>
      </c>
    </row>
    <row r="4" spans="1:22" x14ac:dyDescent="0.45">
      <c r="A4">
        <v>1</v>
      </c>
      <c r="B4">
        <v>3</v>
      </c>
      <c r="C4">
        <v>1</v>
      </c>
      <c r="D4" t="s">
        <v>11</v>
      </c>
      <c r="E4">
        <v>1.03</v>
      </c>
      <c r="F4">
        <v>0.98</v>
      </c>
      <c r="G4">
        <v>1.07</v>
      </c>
      <c r="H4">
        <v>10</v>
      </c>
      <c r="I4">
        <v>12</v>
      </c>
      <c r="J4">
        <v>2</v>
      </c>
      <c r="N4">
        <v>1</v>
      </c>
      <c r="Q4">
        <v>1</v>
      </c>
      <c r="R4">
        <v>1</v>
      </c>
      <c r="V4">
        <v>0</v>
      </c>
    </row>
    <row r="5" spans="1:22" x14ac:dyDescent="0.45">
      <c r="A5">
        <v>2</v>
      </c>
      <c r="B5">
        <v>4</v>
      </c>
      <c r="C5">
        <v>1</v>
      </c>
      <c r="D5" t="s">
        <v>25</v>
      </c>
      <c r="E5">
        <v>0.69</v>
      </c>
      <c r="F5">
        <v>0.56000000000000005</v>
      </c>
      <c r="G5">
        <v>0.83</v>
      </c>
      <c r="H5">
        <v>10</v>
      </c>
      <c r="I5">
        <v>6</v>
      </c>
      <c r="J5">
        <v>2</v>
      </c>
      <c r="P5">
        <v>1</v>
      </c>
      <c r="R5">
        <v>1</v>
      </c>
      <c r="V5">
        <v>0</v>
      </c>
    </row>
    <row r="6" spans="1:22" x14ac:dyDescent="0.45">
      <c r="A6">
        <v>3</v>
      </c>
      <c r="B6">
        <v>5</v>
      </c>
      <c r="C6">
        <v>1</v>
      </c>
      <c r="D6" t="s">
        <v>18</v>
      </c>
      <c r="E6">
        <v>0.81100000000000005</v>
      </c>
      <c r="F6">
        <v>0.49399999999999999</v>
      </c>
      <c r="G6">
        <v>1.3320000000000001</v>
      </c>
      <c r="H6">
        <v>10</v>
      </c>
      <c r="I6">
        <v>8</v>
      </c>
      <c r="J6">
        <v>1</v>
      </c>
      <c r="K6">
        <v>1</v>
      </c>
      <c r="P6">
        <v>1</v>
      </c>
      <c r="R6">
        <v>1</v>
      </c>
      <c r="S6">
        <v>1</v>
      </c>
      <c r="V6">
        <v>0</v>
      </c>
    </row>
    <row r="7" spans="1:22" x14ac:dyDescent="0.45">
      <c r="A7">
        <v>3</v>
      </c>
      <c r="B7">
        <v>6</v>
      </c>
      <c r="C7">
        <v>1</v>
      </c>
      <c r="D7" t="s">
        <v>18</v>
      </c>
      <c r="E7">
        <v>0.91</v>
      </c>
      <c r="F7">
        <v>0.46</v>
      </c>
      <c r="G7">
        <v>1.78</v>
      </c>
      <c r="H7">
        <v>10</v>
      </c>
      <c r="I7">
        <v>8</v>
      </c>
      <c r="J7">
        <v>1</v>
      </c>
      <c r="L7">
        <v>1</v>
      </c>
      <c r="P7">
        <v>1</v>
      </c>
      <c r="R7">
        <v>1</v>
      </c>
      <c r="S7">
        <v>1</v>
      </c>
      <c r="V7">
        <v>0</v>
      </c>
    </row>
    <row r="8" spans="1:22" x14ac:dyDescent="0.45">
      <c r="A8">
        <v>3</v>
      </c>
      <c r="B8">
        <v>7</v>
      </c>
      <c r="C8">
        <v>1</v>
      </c>
      <c r="D8" t="s">
        <v>18</v>
      </c>
      <c r="E8">
        <v>0.71</v>
      </c>
      <c r="F8">
        <v>0.34</v>
      </c>
      <c r="G8">
        <v>1.46</v>
      </c>
      <c r="H8">
        <v>10</v>
      </c>
      <c r="I8">
        <v>8</v>
      </c>
      <c r="J8">
        <v>1</v>
      </c>
      <c r="L8">
        <v>2</v>
      </c>
      <c r="P8">
        <v>1</v>
      </c>
      <c r="R8">
        <v>1</v>
      </c>
      <c r="S8">
        <v>1</v>
      </c>
      <c r="V8"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BE2C-3FF4-4361-A82F-02D51F7563BD}">
  <dimension ref="A1:U2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3" max="3" width="16.1640625" bestFit="1" customWidth="1"/>
    <col min="6" max="6" width="13.5" bestFit="1" customWidth="1"/>
    <col min="9" max="9" width="7.1640625" customWidth="1"/>
  </cols>
  <sheetData>
    <row r="1" spans="1:21" x14ac:dyDescent="0.45">
      <c r="A1" t="s">
        <v>40</v>
      </c>
      <c r="B1" t="s">
        <v>0</v>
      </c>
      <c r="C1" t="s">
        <v>42</v>
      </c>
      <c r="D1" t="s">
        <v>15</v>
      </c>
      <c r="E1" t="s">
        <v>16</v>
      </c>
      <c r="F1" t="s">
        <v>4</v>
      </c>
      <c r="G1" t="s">
        <v>5</v>
      </c>
      <c r="H1" t="s">
        <v>10</v>
      </c>
      <c r="I1" t="s">
        <v>19</v>
      </c>
      <c r="J1" s="4" t="s">
        <v>17</v>
      </c>
      <c r="K1" s="5" t="s">
        <v>20</v>
      </c>
      <c r="L1" s="5" t="s">
        <v>21</v>
      </c>
      <c r="M1" t="s">
        <v>23</v>
      </c>
      <c r="N1" t="s">
        <v>24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35</v>
      </c>
      <c r="T1" s="3" t="s">
        <v>36</v>
      </c>
      <c r="U1" s="3" t="s">
        <v>37</v>
      </c>
    </row>
    <row r="2" spans="1:21" x14ac:dyDescent="0.45">
      <c r="A2">
        <v>1</v>
      </c>
      <c r="B2" s="4">
        <v>1</v>
      </c>
      <c r="C2" t="s">
        <v>11</v>
      </c>
      <c r="D2">
        <v>2.2739490000000001E-2</v>
      </c>
      <c r="E2">
        <v>1.8202920000000001E-2</v>
      </c>
      <c r="F2">
        <v>-1.308524E-2</v>
      </c>
      <c r="G2">
        <v>5.826891E-2</v>
      </c>
      <c r="H2">
        <v>2</v>
      </c>
      <c r="I2">
        <v>1</v>
      </c>
      <c r="L2">
        <v>1</v>
      </c>
      <c r="M2">
        <v>49.5</v>
      </c>
      <c r="N2">
        <v>12</v>
      </c>
      <c r="P2">
        <v>1</v>
      </c>
      <c r="Q2">
        <v>1</v>
      </c>
      <c r="U2">
        <v>0</v>
      </c>
    </row>
    <row r="3" spans="1:21" x14ac:dyDescent="0.45">
      <c r="A3">
        <v>1</v>
      </c>
      <c r="B3" s="4">
        <v>2</v>
      </c>
      <c r="C3" t="s">
        <v>11</v>
      </c>
      <c r="D3">
        <v>9.9503300000000003E-3</v>
      </c>
      <c r="E3">
        <v>3.0345440000000001E-2</v>
      </c>
      <c r="F3">
        <v>-5.1293289999999998E-2</v>
      </c>
      <c r="G3">
        <v>6.7658650000000001E-2</v>
      </c>
      <c r="H3">
        <v>2</v>
      </c>
      <c r="I3">
        <v>0</v>
      </c>
      <c r="J3">
        <v>1</v>
      </c>
      <c r="L3">
        <v>1</v>
      </c>
      <c r="M3">
        <v>49.5</v>
      </c>
      <c r="N3">
        <v>12</v>
      </c>
      <c r="P3">
        <v>1</v>
      </c>
      <c r="Q3">
        <v>1</v>
      </c>
      <c r="U3">
        <v>0</v>
      </c>
    </row>
    <row r="4" spans="1:21" x14ac:dyDescent="0.45">
      <c r="A4">
        <v>1</v>
      </c>
      <c r="B4" s="4">
        <v>3</v>
      </c>
      <c r="C4" t="s">
        <v>11</v>
      </c>
      <c r="D4">
        <v>2.95588E-2</v>
      </c>
      <c r="E4">
        <v>2.241402E-2</v>
      </c>
      <c r="F4">
        <v>-2.0202709999999999E-2</v>
      </c>
      <c r="G4">
        <v>6.7658650000000001E-2</v>
      </c>
      <c r="H4">
        <v>2</v>
      </c>
      <c r="I4">
        <v>0</v>
      </c>
      <c r="J4">
        <v>2</v>
      </c>
      <c r="L4">
        <v>1</v>
      </c>
      <c r="M4">
        <v>49.5</v>
      </c>
      <c r="N4">
        <v>12</v>
      </c>
      <c r="P4">
        <v>1</v>
      </c>
      <c r="Q4">
        <v>1</v>
      </c>
      <c r="U4">
        <v>0</v>
      </c>
    </row>
    <row r="5" spans="1:21" x14ac:dyDescent="0.45">
      <c r="A5">
        <v>2</v>
      </c>
      <c r="B5" s="4">
        <v>4</v>
      </c>
      <c r="C5" t="s">
        <v>13</v>
      </c>
      <c r="D5">
        <v>-0.37106368000000001</v>
      </c>
      <c r="E5">
        <v>0.10038167000000001</v>
      </c>
      <c r="F5">
        <v>-0.57981850000000001</v>
      </c>
      <c r="G5">
        <v>-0.18632957999999999</v>
      </c>
      <c r="H5">
        <v>2</v>
      </c>
      <c r="I5">
        <v>1</v>
      </c>
      <c r="M5">
        <v>48.9</v>
      </c>
      <c r="N5">
        <v>6</v>
      </c>
      <c r="O5">
        <v>1</v>
      </c>
      <c r="Q5">
        <v>1</v>
      </c>
      <c r="R5">
        <v>1</v>
      </c>
      <c r="S5">
        <v>1</v>
      </c>
      <c r="T5">
        <v>50</v>
      </c>
      <c r="U5">
        <v>0</v>
      </c>
    </row>
    <row r="6" spans="1:21" x14ac:dyDescent="0.45">
      <c r="A6">
        <v>3</v>
      </c>
      <c r="B6" s="4">
        <v>5</v>
      </c>
      <c r="C6" t="s">
        <v>14</v>
      </c>
      <c r="D6">
        <v>4.6480500000000001E-2</v>
      </c>
      <c r="E6">
        <v>1.1239499999999999E-2</v>
      </c>
      <c r="F6" s="1">
        <v>2.4451400000000002E-2</v>
      </c>
      <c r="G6">
        <v>6.8509600000000004E-2</v>
      </c>
      <c r="H6">
        <v>3</v>
      </c>
      <c r="I6">
        <v>1</v>
      </c>
      <c r="J6">
        <v>2</v>
      </c>
      <c r="L6">
        <v>1</v>
      </c>
      <c r="M6">
        <v>63</v>
      </c>
      <c r="N6">
        <v>13.5</v>
      </c>
      <c r="P6">
        <v>1</v>
      </c>
      <c r="Q6">
        <v>1</v>
      </c>
      <c r="R6">
        <v>1</v>
      </c>
      <c r="S6">
        <v>1</v>
      </c>
      <c r="T6">
        <v>50</v>
      </c>
      <c r="U6">
        <v>0</v>
      </c>
    </row>
    <row r="7" spans="1:21" x14ac:dyDescent="0.45">
      <c r="A7">
        <v>3</v>
      </c>
      <c r="B7" s="4">
        <v>6</v>
      </c>
      <c r="C7" t="s">
        <v>14</v>
      </c>
      <c r="D7">
        <v>8.5593299999999997E-2</v>
      </c>
      <c r="E7">
        <v>1.6662E-2</v>
      </c>
      <c r="F7">
        <v>5.2936400000000002E-2</v>
      </c>
      <c r="G7">
        <v>0.1182502</v>
      </c>
      <c r="H7">
        <v>3</v>
      </c>
      <c r="I7">
        <v>0</v>
      </c>
      <c r="J7">
        <v>2</v>
      </c>
      <c r="K7">
        <v>1</v>
      </c>
      <c r="L7">
        <v>1</v>
      </c>
      <c r="M7">
        <v>63</v>
      </c>
      <c r="N7">
        <v>13.5</v>
      </c>
      <c r="P7">
        <v>1</v>
      </c>
      <c r="Q7">
        <v>1</v>
      </c>
      <c r="R7">
        <v>1</v>
      </c>
      <c r="U7">
        <v>0</v>
      </c>
    </row>
    <row r="8" spans="1:21" x14ac:dyDescent="0.45">
      <c r="A8">
        <v>4</v>
      </c>
      <c r="B8" s="4">
        <v>7</v>
      </c>
      <c r="C8" t="s">
        <v>18</v>
      </c>
      <c r="D8">
        <v>-0.20948722</v>
      </c>
      <c r="E8">
        <v>0.25304070000000001</v>
      </c>
      <c r="F8">
        <v>-0.70521975999999997</v>
      </c>
      <c r="G8">
        <v>0.28668157</v>
      </c>
      <c r="H8">
        <v>1</v>
      </c>
      <c r="I8">
        <v>1</v>
      </c>
      <c r="M8">
        <v>69</v>
      </c>
      <c r="N8">
        <v>8</v>
      </c>
      <c r="O8">
        <v>1</v>
      </c>
      <c r="Q8">
        <v>1</v>
      </c>
      <c r="R8">
        <v>1</v>
      </c>
      <c r="U8">
        <v>0</v>
      </c>
    </row>
    <row r="9" spans="1:21" x14ac:dyDescent="0.45">
      <c r="A9">
        <v>4</v>
      </c>
      <c r="B9" s="4">
        <v>8</v>
      </c>
      <c r="C9" t="s">
        <v>18</v>
      </c>
      <c r="D9">
        <v>-9.4310679999999994E-2</v>
      </c>
      <c r="E9" t="s">
        <v>41</v>
      </c>
      <c r="F9">
        <v>-0.77652878999999997</v>
      </c>
      <c r="G9">
        <v>0.57661335999999996</v>
      </c>
      <c r="H9">
        <v>1</v>
      </c>
      <c r="I9">
        <v>0</v>
      </c>
      <c r="J9">
        <v>1</v>
      </c>
      <c r="M9">
        <v>69</v>
      </c>
      <c r="N9">
        <v>8</v>
      </c>
      <c r="O9">
        <v>1</v>
      </c>
      <c r="Q9">
        <v>1</v>
      </c>
      <c r="R9">
        <v>1</v>
      </c>
      <c r="U9">
        <v>0</v>
      </c>
    </row>
    <row r="10" spans="1:21" x14ac:dyDescent="0.45">
      <c r="A10">
        <v>4</v>
      </c>
      <c r="B10" s="4">
        <v>9</v>
      </c>
      <c r="C10" t="s">
        <v>18</v>
      </c>
      <c r="D10">
        <v>-0.34249031000000002</v>
      </c>
      <c r="E10">
        <v>0.37175328000000002</v>
      </c>
      <c r="F10">
        <v>-1.0788097000000001</v>
      </c>
      <c r="G10">
        <v>0.37843643999999999</v>
      </c>
      <c r="H10">
        <v>1</v>
      </c>
      <c r="I10">
        <v>0</v>
      </c>
      <c r="J10">
        <v>2</v>
      </c>
      <c r="M10">
        <v>69</v>
      </c>
      <c r="N10">
        <v>8</v>
      </c>
      <c r="O10">
        <v>1</v>
      </c>
      <c r="Q10">
        <v>1</v>
      </c>
      <c r="R10">
        <v>1</v>
      </c>
      <c r="U10">
        <v>0</v>
      </c>
    </row>
    <row r="21" spans="10:10" x14ac:dyDescent="0.45">
      <c r="J21" s="2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categorical</vt:lpstr>
      <vt:lpstr>continuous</vt:lpstr>
      <vt:lpstr>linear_main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진의 김</dc:creator>
  <cp:lastModifiedBy>진의 김</cp:lastModifiedBy>
  <dcterms:created xsi:type="dcterms:W3CDTF">2024-11-14T07:55:18Z</dcterms:created>
  <dcterms:modified xsi:type="dcterms:W3CDTF">2026-08-21T07:12:16Z</dcterms:modified>
</cp:coreProperties>
</file>